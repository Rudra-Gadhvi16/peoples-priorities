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_Weights" sheetId="2" state="visible" r:id="rId4"/>
    <sheet name="Raw_Submissions" sheetId="3" state="visible" r:id="rId5"/>
    <sheet name="Need_Gap_Data" sheetId="4" state="visible" r:id="rId6"/>
    <sheet name="Scoring_Engine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<sst xmlns="http://schemas.openxmlformats.org/spreadsheetml/2006/main" count="160" uniqueCount="110">
  <si>
    <t xml:space="preserve">People's Priorities — Constituency Development Prioritization Model</t>
  </si>
  <si>
    <t xml:space="preserve">PURPOSE</t>
  </si>
  <si>
    <t xml:space="preserve">Converts raw citizen submissions (voice/text/photo/messaging) into a ranked, evidence-backed shortlist of development projects, using a transparent multi-criteria scoring formula.</t>
  </si>
  <si>
    <t xml:space="preserve">HOW TO USE</t>
  </si>
  <si>
    <t xml:space="preserve">1. Assumptions &amp; Weights — adjust the blue cells to change how much each factor matters (must sum to 100%).</t>
  </si>
  <si>
    <t xml:space="preserve">2. Raw_Submissions — paste/simulate citizen intake data here (one row per demand cluster, after dedup).</t>
  </si>
  <si>
    <t xml:space="preserve">3. Need_Gap_Data — public dataset overlay (enrollment, distance, coverage) joined by Ward/Sector.</t>
  </si>
  <si>
    <t xml:space="preserve">4. Scoring_Engine — automatically computes each project's score and rank from the two sheets above. Do not edit — all formulas.</t>
  </si>
  <si>
    <t xml:space="preserve">5. Dashboard — pivoted summary view: ranked list, sector totals, ward heatmap-style table.</t>
  </si>
  <si>
    <t xml:space="preserve">SCORING FORMULA</t>
  </si>
  <si>
    <t xml:space="preserve">Priority Score = (Demand_Norm × W1) + (NeedGap_Norm × W2) + (Impact_per_Cost_Norm × W3) + (Urgency_Norm × W4) − (Duplication_Penalty)</t>
  </si>
  <si>
    <t xml:space="preserve">All component scores are normalized 0–100 before weighting, so no single metric dominates due to scale.</t>
  </si>
  <si>
    <t xml:space="preserve">Blue = input (editable). Black = formula (do not edit). Green = link from another sheet.</t>
  </si>
  <si>
    <t xml:space="preserve">Scoring Weights (must total 100%)</t>
  </si>
  <si>
    <t xml:space="preserve">Factor</t>
  </si>
  <si>
    <t xml:space="preserve">Weight</t>
  </si>
  <si>
    <t xml:space="preserve">Definition</t>
  </si>
  <si>
    <t xml:space="preserve">Citizen Demand Volume</t>
  </si>
  <si>
    <t xml:space="preserve">Size of demand cluster (deduplicated citizen count) + recency of submissions</t>
  </si>
  <si>
    <t xml:space="preserve">Need-Gap Severity</t>
  </si>
  <si>
    <t xml:space="preserve">Objective gap vs public data: enrollment/seat ratio, travel distance, facility coverage</t>
  </si>
  <si>
    <t xml:space="preserve">Impact per Cost</t>
  </si>
  <si>
    <t xml:space="preserve">Estimated population served divided by estimated project cost (value-for-money)</t>
  </si>
  <si>
    <t xml:space="preserve">Urgency / Safety Risk</t>
  </si>
  <si>
    <t xml:space="preserve">Flagged safety hazards, health risks, or time-critical infrastructure failure</t>
  </si>
  <si>
    <t xml:space="preserve">TOTAL</t>
  </si>
  <si>
    <t xml:space="preserve">Duplication Penalty (points deducted per near-duplicate proposal already funded/in progress)</t>
  </si>
  <si>
    <t xml:space="preserve">Max score cap</t>
  </si>
  <si>
    <t xml:space="preserve">Note: change weights above and the entire ranking in Scoring_Engine and Dashboard recalculates automatically.</t>
  </si>
  <si>
    <t xml:space="preserve">Cluster_ID</t>
  </si>
  <si>
    <t xml:space="preserve">Project_Title</t>
  </si>
  <si>
    <t xml:space="preserve">Sector</t>
  </si>
  <si>
    <t xml:space="preserve">Ward</t>
  </si>
  <si>
    <t xml:space="preserve">Num_Citizens_Reporting</t>
  </si>
  <si>
    <t xml:space="preserve">Days_Since_First_Report</t>
  </si>
  <si>
    <t xml:space="preserve">Channel_Mix</t>
  </si>
  <si>
    <t xml:space="preserve">Urgency_Flag(1=safety/health risk)</t>
  </si>
  <si>
    <t xml:space="preserve">Est_Population_Served</t>
  </si>
  <si>
    <t xml:space="preserve">Est_Cost_INR_Lakh</t>
  </si>
  <si>
    <t xml:space="preserve">Already_In_Progress(Y/N)</t>
  </si>
  <si>
    <t xml:space="preserve">C001</t>
  </si>
  <si>
    <t xml:space="preserve">Upgrade Govt Primary School Bldg</t>
  </si>
  <si>
    <t xml:space="preserve">Education</t>
  </si>
  <si>
    <t xml:space="preserve">Ward 4</t>
  </si>
  <si>
    <t xml:space="preserve">Voice+WhatsApp</t>
  </si>
  <si>
    <t xml:space="preserve">N</t>
  </si>
  <si>
    <t xml:space="preserve">C002</t>
  </si>
  <si>
    <t xml:space="preserve">New Vocational Training Centre</t>
  </si>
  <si>
    <t xml:space="preserve">Ward 7</t>
  </si>
  <si>
    <t xml:space="preserve">Web form</t>
  </si>
  <si>
    <t xml:space="preserve">C003</t>
  </si>
  <si>
    <t xml:space="preserve">Repair Access Road to Health Sub-Centre</t>
  </si>
  <si>
    <t xml:space="preserve">Roads</t>
  </si>
  <si>
    <t xml:space="preserve">Ward 2</t>
  </si>
  <si>
    <t xml:space="preserve">Letters+Voice</t>
  </si>
  <si>
    <t xml:space="preserve">C004</t>
  </si>
  <si>
    <t xml:space="preserve">Additional Classrooms - Enrollment Overflow</t>
  </si>
  <si>
    <t xml:space="preserve">WhatsApp+SMS</t>
  </si>
  <si>
    <t xml:space="preserve">C005</t>
  </si>
  <si>
    <t xml:space="preserve">Streetlights - Public Safety</t>
  </si>
  <si>
    <t xml:space="preserve">Infrastructure</t>
  </si>
  <si>
    <t xml:space="preserve">Ward 9</t>
  </si>
  <si>
    <t xml:space="preserve">Social Media</t>
  </si>
  <si>
    <t xml:space="preserve">C006</t>
  </si>
  <si>
    <t xml:space="preserve">Water Supply Pipeline Extension</t>
  </si>
  <si>
    <t xml:space="preserve">Water</t>
  </si>
  <si>
    <t xml:space="preserve">Ward 5</t>
  </si>
  <si>
    <t xml:space="preserve">Voice+Grievance Portal</t>
  </si>
  <si>
    <t xml:space="preserve">C007</t>
  </si>
  <si>
    <t xml:space="preserve">Community Health Sub-Centre Upgrade</t>
  </si>
  <si>
    <t xml:space="preserve">Health</t>
  </si>
  <si>
    <t xml:space="preserve">Letters</t>
  </si>
  <si>
    <t xml:space="preserve">C008</t>
  </si>
  <si>
    <t xml:space="preserve">Bus Shelter Construction</t>
  </si>
  <si>
    <t xml:space="preserve">C009</t>
  </si>
  <si>
    <t xml:space="preserve">Girls Toilet Block - Govt School</t>
  </si>
  <si>
    <t xml:space="preserve">Ward 6</t>
  </si>
  <si>
    <t xml:space="preserve">WhatsApp</t>
  </si>
  <si>
    <t xml:space="preserve">C010</t>
  </si>
  <si>
    <t xml:space="preserve">Drainage/Flood Mitigation Works</t>
  </si>
  <si>
    <t xml:space="preserve">Voice+Social Media</t>
  </si>
  <si>
    <t xml:space="preserve">C011</t>
  </si>
  <si>
    <t xml:space="preserve">Skill Development Centre (duplicate of vocational ask)</t>
  </si>
  <si>
    <t xml:space="preserve">Y</t>
  </si>
  <si>
    <t xml:space="preserve">C012</t>
  </si>
  <si>
    <t xml:space="preserve">Anganwadi Centre Renovation</t>
  </si>
  <si>
    <t xml:space="preserve">Ward 3</t>
  </si>
  <si>
    <t xml:space="preserve">Letters+WhatsApp</t>
  </si>
  <si>
    <t xml:space="preserve">Enrollment_vs_Seats_Ratio(1=full)</t>
  </si>
  <si>
    <t xml:space="preserve">Nearest_Alt_Facility_Distance_km</t>
  </si>
  <si>
    <t xml:space="preserve">Ward_Poverty_Index(0-100,higher=poorer)</t>
  </si>
  <si>
    <t xml:space="preserve">Infra_Gap_Score(0-100,manual/dataset-derived)</t>
  </si>
  <si>
    <t xml:space="preserve">Source: illustrative — replace with UDISE+ (education), PMGSY/GIS (distance), Census/SECC (poverty index), field survey (infra gap).</t>
  </si>
  <si>
    <t xml:space="preserve">Demand_Raw</t>
  </si>
  <si>
    <t xml:space="preserve">Demand_Norm(0-100)</t>
  </si>
  <si>
    <t xml:space="preserve">NeedGap_Raw</t>
  </si>
  <si>
    <t xml:space="preserve">NeedGap_Norm(0-100)</t>
  </si>
  <si>
    <t xml:space="preserve">ImpactCost_Raw(pop/lakh)</t>
  </si>
  <si>
    <t xml:space="preserve">ImpactCost_Norm(0-100)</t>
  </si>
  <si>
    <t xml:space="preserve">Urgency_Norm(0-100)</t>
  </si>
  <si>
    <t xml:space="preserve">Dup_Penalty</t>
  </si>
  <si>
    <t xml:space="preserve">Priority_Score</t>
  </si>
  <si>
    <t xml:space="preserve">Rank</t>
  </si>
  <si>
    <t xml:space="preserve">MP Priority Dashboard — Ranked Project Shortlist</t>
  </si>
  <si>
    <t xml:space="preserve">Project</t>
  </si>
  <si>
    <t xml:space="preserve">Score</t>
  </si>
  <si>
    <t xml:space="preserve">Why (auto-summary)</t>
  </si>
  <si>
    <t xml:space="preserve">Total Score by Sector</t>
  </si>
  <si>
    <t xml:space="preserve">Total Priority Score</t>
  </si>
  <si>
    <t xml:space="preserve">Note: 'Dashboard' pulls live from Scoring_Engine. Change weights in Assumptions_Weights and everything updates.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</si>
</sst>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4" t="s">
        <v>10</v>
      </c>
    </row>
    <row r="16" customFormat="false" ht="15" hidden="false" customHeight="false" outlineLevel="0" collapsed="false">
      <c r="A16" s="3" t="s">
        <v>11</v>
      </c>
    </row>
    <row r="18" customFormat="false" ht="15" hidden="false" customHeight="false" outlineLevel="0" collapsed="false">
      <c r="A18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6" t="s">
        <v>14</v>
      </c>
      <c r="B3" s="6" t="s">
        <v>15</v>
      </c>
      <c r="C3" s="6" t="s">
        <v>16</v>
      </c>
    </row>
    <row r="4" customFormat="false" ht="15" hidden="false" customHeight="false" outlineLevel="0" collapsed="false">
      <c r="A4" s="7" t="s">
        <v>17</v>
      </c>
      <c r="B4" s="8" t="n">
        <v>0.3</v>
      </c>
      <c r="C4" s="9" t="s">
        <v>18</v>
      </c>
    </row>
    <row r="5" customFormat="false" ht="15" hidden="false" customHeight="false" outlineLevel="0" collapsed="false">
      <c r="A5" s="7" t="s">
        <v>19</v>
      </c>
      <c r="B5" s="8" t="n">
        <v>0.35</v>
      </c>
      <c r="C5" s="9" t="s">
        <v>20</v>
      </c>
    </row>
    <row r="6" customFormat="false" ht="15" hidden="false" customHeight="false" outlineLevel="0" collapsed="false">
      <c r="A6" s="7" t="s">
        <v>21</v>
      </c>
      <c r="B6" s="8" t="n">
        <v>0.25</v>
      </c>
      <c r="C6" s="9" t="s">
        <v>22</v>
      </c>
    </row>
    <row r="7" customFormat="false" ht="15" hidden="false" customHeight="false" outlineLevel="0" collapsed="false">
      <c r="A7" s="7" t="s">
        <v>23</v>
      </c>
      <c r="B7" s="8" t="n">
        <v>0.1</v>
      </c>
      <c r="C7" s="9" t="s">
        <v>24</v>
      </c>
    </row>
    <row r="8" customFormat="false" ht="15" hidden="false" customHeight="false" outlineLevel="0" collapsed="false">
      <c r="A8" s="10" t="s">
        <v>25</v>
      </c>
      <c r="B8" s="11" t="n">
        <f aca="false">SUM(B4:B7)</f>
        <v>1</v>
      </c>
    </row>
    <row r="10" customFormat="false" ht="15" hidden="false" customHeight="false" outlineLevel="0" collapsed="false">
      <c r="A10" s="12" t="s">
        <v>26</v>
      </c>
      <c r="B10" s="13" t="n">
        <v>5</v>
      </c>
    </row>
    <row r="11" customFormat="false" ht="15" hidden="false" customHeight="false" outlineLevel="0" collapsed="false">
      <c r="A11" s="0" t="s">
        <v>27</v>
      </c>
      <c r="B11" s="13" t="n">
        <v>100</v>
      </c>
    </row>
    <row r="13" customFormat="false" ht="15" hidden="false" customHeight="false" outlineLevel="0" collapsed="false">
      <c r="A13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20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26.85" hidden="false" customHeight="false" outlineLevel="0" collapsed="false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</row>
    <row r="2" customFormat="false" ht="15" hidden="false" customHeight="false" outlineLevel="0" collapsed="false">
      <c r="A2" s="7" t="s">
        <v>40</v>
      </c>
      <c r="B2" s="14" t="s">
        <v>41</v>
      </c>
      <c r="C2" s="14" t="s">
        <v>42</v>
      </c>
      <c r="D2" s="14" t="s">
        <v>43</v>
      </c>
      <c r="E2" s="14" t="n">
        <v>142</v>
      </c>
      <c r="F2" s="14" t="n">
        <v>58</v>
      </c>
      <c r="G2" s="14" t="s">
        <v>44</v>
      </c>
      <c r="H2" s="14" t="n">
        <v>0</v>
      </c>
      <c r="I2" s="14" t="n">
        <v>850</v>
      </c>
      <c r="J2" s="14" t="n">
        <v>45</v>
      </c>
      <c r="K2" s="14" t="s">
        <v>45</v>
      </c>
    </row>
    <row r="3" customFormat="false" ht="15" hidden="false" customHeight="false" outlineLevel="0" collapsed="false">
      <c r="A3" s="7" t="s">
        <v>46</v>
      </c>
      <c r="B3" s="14" t="s">
        <v>47</v>
      </c>
      <c r="C3" s="14" t="s">
        <v>42</v>
      </c>
      <c r="D3" s="14" t="s">
        <v>48</v>
      </c>
      <c r="E3" s="14" t="n">
        <v>23</v>
      </c>
      <c r="F3" s="14" t="n">
        <v>12</v>
      </c>
      <c r="G3" s="14" t="s">
        <v>49</v>
      </c>
      <c r="H3" s="14" t="n">
        <v>0</v>
      </c>
      <c r="I3" s="14" t="n">
        <v>1200</v>
      </c>
      <c r="J3" s="14" t="n">
        <v>220</v>
      </c>
      <c r="K3" s="14" t="s">
        <v>45</v>
      </c>
    </row>
    <row r="4" customFormat="false" ht="15" hidden="false" customHeight="false" outlineLevel="0" collapsed="false">
      <c r="A4" s="7" t="s">
        <v>50</v>
      </c>
      <c r="B4" s="14" t="s">
        <v>51</v>
      </c>
      <c r="C4" s="14" t="s">
        <v>52</v>
      </c>
      <c r="D4" s="14" t="s">
        <v>53</v>
      </c>
      <c r="E4" s="14" t="n">
        <v>96</v>
      </c>
      <c r="F4" s="14" t="n">
        <v>90</v>
      </c>
      <c r="G4" s="14" t="s">
        <v>54</v>
      </c>
      <c r="H4" s="14" t="n">
        <v>1</v>
      </c>
      <c r="I4" s="14" t="n">
        <v>3400</v>
      </c>
      <c r="J4" s="14" t="n">
        <v>30</v>
      </c>
      <c r="K4" s="14" t="s">
        <v>45</v>
      </c>
    </row>
    <row r="5" customFormat="false" ht="15" hidden="false" customHeight="false" outlineLevel="0" collapsed="false">
      <c r="A5" s="7" t="s">
        <v>55</v>
      </c>
      <c r="B5" s="14" t="s">
        <v>56</v>
      </c>
      <c r="C5" s="14" t="s">
        <v>42</v>
      </c>
      <c r="D5" s="14" t="s">
        <v>43</v>
      </c>
      <c r="E5" s="14" t="n">
        <v>210</v>
      </c>
      <c r="F5" s="14" t="n">
        <v>140</v>
      </c>
      <c r="G5" s="14" t="s">
        <v>57</v>
      </c>
      <c r="H5" s="14" t="n">
        <v>0</v>
      </c>
      <c r="I5" s="14" t="n">
        <v>900</v>
      </c>
      <c r="J5" s="14" t="n">
        <v>60</v>
      </c>
      <c r="K5" s="14" t="s">
        <v>45</v>
      </c>
    </row>
    <row r="6" customFormat="false" ht="15" hidden="false" customHeight="false" outlineLevel="0" collapsed="false">
      <c r="A6" s="7" t="s">
        <v>58</v>
      </c>
      <c r="B6" s="14" t="s">
        <v>59</v>
      </c>
      <c r="C6" s="14" t="s">
        <v>60</v>
      </c>
      <c r="D6" s="14" t="s">
        <v>61</v>
      </c>
      <c r="E6" s="14" t="n">
        <v>67</v>
      </c>
      <c r="F6" s="14" t="n">
        <v>20</v>
      </c>
      <c r="G6" s="14" t="s">
        <v>62</v>
      </c>
      <c r="H6" s="14" t="n">
        <v>1</v>
      </c>
      <c r="I6" s="14" t="n">
        <v>2100</v>
      </c>
      <c r="J6" s="14" t="n">
        <v>15</v>
      </c>
      <c r="K6" s="14" t="s">
        <v>45</v>
      </c>
    </row>
    <row r="7" customFormat="false" ht="15" hidden="false" customHeight="false" outlineLevel="0" collapsed="false">
      <c r="A7" s="7" t="s">
        <v>63</v>
      </c>
      <c r="B7" s="14" t="s">
        <v>64</v>
      </c>
      <c r="C7" s="14" t="s">
        <v>65</v>
      </c>
      <c r="D7" s="14" t="s">
        <v>66</v>
      </c>
      <c r="E7" s="14" t="n">
        <v>188</v>
      </c>
      <c r="F7" s="14" t="n">
        <v>75</v>
      </c>
      <c r="G7" s="14" t="s">
        <v>67</v>
      </c>
      <c r="H7" s="14" t="n">
        <v>1</v>
      </c>
      <c r="I7" s="14" t="n">
        <v>4500</v>
      </c>
      <c r="J7" s="14" t="n">
        <v>80</v>
      </c>
      <c r="K7" s="14" t="s">
        <v>45</v>
      </c>
    </row>
    <row r="8" customFormat="false" ht="15" hidden="false" customHeight="false" outlineLevel="0" collapsed="false">
      <c r="A8" s="7" t="s">
        <v>68</v>
      </c>
      <c r="B8" s="14" t="s">
        <v>69</v>
      </c>
      <c r="C8" s="14" t="s">
        <v>70</v>
      </c>
      <c r="D8" s="14" t="s">
        <v>53</v>
      </c>
      <c r="E8" s="14" t="n">
        <v>54</v>
      </c>
      <c r="F8" s="14" t="n">
        <v>45</v>
      </c>
      <c r="G8" s="14" t="s">
        <v>71</v>
      </c>
      <c r="H8" s="14" t="n">
        <v>0</v>
      </c>
      <c r="I8" s="14" t="n">
        <v>3400</v>
      </c>
      <c r="J8" s="14" t="n">
        <v>55</v>
      </c>
      <c r="K8" s="14" t="s">
        <v>45</v>
      </c>
    </row>
    <row r="9" customFormat="false" ht="15" hidden="false" customHeight="false" outlineLevel="0" collapsed="false">
      <c r="A9" s="7" t="s">
        <v>72</v>
      </c>
      <c r="B9" s="14" t="s">
        <v>73</v>
      </c>
      <c r="C9" s="14" t="s">
        <v>60</v>
      </c>
      <c r="D9" s="14" t="s">
        <v>48</v>
      </c>
      <c r="E9" s="14" t="n">
        <v>18</v>
      </c>
      <c r="F9" s="14" t="n">
        <v>30</v>
      </c>
      <c r="G9" s="14" t="s">
        <v>49</v>
      </c>
      <c r="H9" s="14" t="n">
        <v>0</v>
      </c>
      <c r="I9" s="14" t="n">
        <v>600</v>
      </c>
      <c r="J9" s="14" t="n">
        <v>8</v>
      </c>
      <c r="K9" s="14" t="s">
        <v>45</v>
      </c>
    </row>
    <row r="10" customFormat="false" ht="15" hidden="false" customHeight="false" outlineLevel="0" collapsed="false">
      <c r="A10" s="7" t="s">
        <v>74</v>
      </c>
      <c r="B10" s="14" t="s">
        <v>75</v>
      </c>
      <c r="C10" s="14" t="s">
        <v>42</v>
      </c>
      <c r="D10" s="14" t="s">
        <v>76</v>
      </c>
      <c r="E10" s="14" t="n">
        <v>39</v>
      </c>
      <c r="F10" s="14" t="n">
        <v>15</v>
      </c>
      <c r="G10" s="14" t="s">
        <v>77</v>
      </c>
      <c r="H10" s="14" t="n">
        <v>1</v>
      </c>
      <c r="I10" s="14" t="n">
        <v>410</v>
      </c>
      <c r="J10" s="14" t="n">
        <v>12</v>
      </c>
      <c r="K10" s="14" t="s">
        <v>45</v>
      </c>
    </row>
    <row r="11" customFormat="false" ht="15" hidden="false" customHeight="false" outlineLevel="0" collapsed="false">
      <c r="A11" s="7" t="s">
        <v>78</v>
      </c>
      <c r="B11" s="14" t="s">
        <v>79</v>
      </c>
      <c r="C11" s="14" t="s">
        <v>60</v>
      </c>
      <c r="D11" s="14" t="s">
        <v>61</v>
      </c>
      <c r="E11" s="14" t="n">
        <v>121</v>
      </c>
      <c r="F11" s="14" t="n">
        <v>100</v>
      </c>
      <c r="G11" s="14" t="s">
        <v>80</v>
      </c>
      <c r="H11" s="14" t="n">
        <v>1</v>
      </c>
      <c r="I11" s="14" t="n">
        <v>2100</v>
      </c>
      <c r="J11" s="14" t="n">
        <v>95</v>
      </c>
      <c r="K11" s="14" t="s">
        <v>45</v>
      </c>
    </row>
    <row r="12" customFormat="false" ht="15" hidden="false" customHeight="false" outlineLevel="0" collapsed="false">
      <c r="A12" s="7" t="s">
        <v>81</v>
      </c>
      <c r="B12" s="14" t="s">
        <v>82</v>
      </c>
      <c r="C12" s="14" t="s">
        <v>42</v>
      </c>
      <c r="D12" s="14" t="s">
        <v>48</v>
      </c>
      <c r="E12" s="14" t="n">
        <v>15</v>
      </c>
      <c r="F12" s="14" t="n">
        <v>8</v>
      </c>
      <c r="G12" s="14" t="s">
        <v>62</v>
      </c>
      <c r="H12" s="14" t="n">
        <v>0</v>
      </c>
      <c r="I12" s="14" t="n">
        <v>1200</v>
      </c>
      <c r="J12" s="14" t="n">
        <v>210</v>
      </c>
      <c r="K12" s="14" t="s">
        <v>83</v>
      </c>
    </row>
    <row r="13" customFormat="false" ht="15" hidden="false" customHeight="false" outlineLevel="0" collapsed="false">
      <c r="A13" s="7" t="s">
        <v>84</v>
      </c>
      <c r="B13" s="14" t="s">
        <v>85</v>
      </c>
      <c r="C13" s="14" t="s">
        <v>70</v>
      </c>
      <c r="D13" s="14" t="s">
        <v>86</v>
      </c>
      <c r="E13" s="14" t="n">
        <v>44</v>
      </c>
      <c r="F13" s="14" t="n">
        <v>50</v>
      </c>
      <c r="G13" s="14" t="s">
        <v>87</v>
      </c>
      <c r="H13" s="14" t="n">
        <v>0</v>
      </c>
      <c r="I13" s="14" t="n">
        <v>300</v>
      </c>
      <c r="J13" s="14" t="n">
        <v>10</v>
      </c>
      <c r="K13" s="1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26"/>
    <col collapsed="false" customWidth="true" hidden="false" outlineLevel="0" max="5" min="5" style="0" width="28"/>
  </cols>
  <sheetData>
    <row r="1" customFormat="false" ht="39.55" hidden="false" customHeight="false" outlineLevel="0" collapsed="false">
      <c r="A1" s="6" t="s">
        <v>29</v>
      </c>
      <c r="B1" s="6" t="s">
        <v>88</v>
      </c>
      <c r="C1" s="6" t="s">
        <v>89</v>
      </c>
      <c r="D1" s="6" t="s">
        <v>90</v>
      </c>
      <c r="E1" s="6" t="s">
        <v>91</v>
      </c>
    </row>
    <row r="2" customFormat="false" ht="15" hidden="false" customHeight="false" outlineLevel="0" collapsed="false">
      <c r="A2" s="7" t="s">
        <v>40</v>
      </c>
      <c r="B2" s="14" t="n">
        <v>1.15</v>
      </c>
      <c r="C2" s="14" t="n">
        <v>3.2</v>
      </c>
      <c r="D2" s="14" t="n">
        <v>58</v>
      </c>
      <c r="E2" s="14" t="n">
        <v>72</v>
      </c>
    </row>
    <row r="3" customFormat="false" ht="15" hidden="false" customHeight="false" outlineLevel="0" collapsed="false">
      <c r="A3" s="7" t="s">
        <v>46</v>
      </c>
      <c r="B3" s="14" t="n">
        <v>0.6</v>
      </c>
      <c r="C3" s="14" t="n">
        <v>12.5</v>
      </c>
      <c r="D3" s="14" t="n">
        <v>64</v>
      </c>
      <c r="E3" s="14" t="n">
        <v>55</v>
      </c>
    </row>
    <row r="4" customFormat="false" ht="15" hidden="false" customHeight="false" outlineLevel="0" collapsed="false">
      <c r="A4" s="7" t="s">
        <v>50</v>
      </c>
      <c r="B4" s="14" t="n">
        <v>0.9</v>
      </c>
      <c r="C4" s="14" t="n">
        <v>8</v>
      </c>
      <c r="D4" s="14" t="n">
        <v>71</v>
      </c>
      <c r="E4" s="14" t="n">
        <v>80</v>
      </c>
    </row>
    <row r="5" customFormat="false" ht="15" hidden="false" customHeight="false" outlineLevel="0" collapsed="false">
      <c r="A5" s="7" t="s">
        <v>55</v>
      </c>
      <c r="B5" s="14" t="n">
        <v>1.35</v>
      </c>
      <c r="C5" s="14" t="n">
        <v>2.1</v>
      </c>
      <c r="D5" s="14" t="n">
        <v>58</v>
      </c>
      <c r="E5" s="14" t="n">
        <v>85</v>
      </c>
    </row>
    <row r="6" customFormat="false" ht="15" hidden="false" customHeight="false" outlineLevel="0" collapsed="false">
      <c r="A6" s="7" t="s">
        <v>58</v>
      </c>
      <c r="B6" s="14" t="n">
        <v>0.7</v>
      </c>
      <c r="C6" s="14" t="n">
        <v>4.5</v>
      </c>
      <c r="D6" s="14" t="n">
        <v>49</v>
      </c>
      <c r="E6" s="14" t="n">
        <v>60</v>
      </c>
    </row>
    <row r="7" customFormat="false" ht="15" hidden="false" customHeight="false" outlineLevel="0" collapsed="false">
      <c r="A7" s="7" t="s">
        <v>63</v>
      </c>
      <c r="B7" s="14" t="n">
        <v>0.85</v>
      </c>
      <c r="C7" s="14" t="n">
        <v>6</v>
      </c>
      <c r="D7" s="14" t="n">
        <v>77</v>
      </c>
      <c r="E7" s="14" t="n">
        <v>90</v>
      </c>
    </row>
    <row r="8" customFormat="false" ht="15" hidden="false" customHeight="false" outlineLevel="0" collapsed="false">
      <c r="A8" s="7" t="s">
        <v>68</v>
      </c>
      <c r="B8" s="14" t="n">
        <v>1.05</v>
      </c>
      <c r="C8" s="14" t="n">
        <v>15</v>
      </c>
      <c r="D8" s="14" t="n">
        <v>71</v>
      </c>
      <c r="E8" s="14" t="n">
        <v>88</v>
      </c>
    </row>
    <row r="9" customFormat="false" ht="15" hidden="false" customHeight="false" outlineLevel="0" collapsed="false">
      <c r="A9" s="7" t="s">
        <v>72</v>
      </c>
      <c r="B9" s="14" t="n">
        <v>0.5</v>
      </c>
      <c r="C9" s="14" t="n">
        <v>1.5</v>
      </c>
      <c r="D9" s="14" t="n">
        <v>40</v>
      </c>
      <c r="E9" s="14" t="n">
        <v>30</v>
      </c>
    </row>
    <row r="10" customFormat="false" ht="15" hidden="false" customHeight="false" outlineLevel="0" collapsed="false">
      <c r="A10" s="7" t="s">
        <v>74</v>
      </c>
      <c r="B10" s="14" t="n">
        <v>1.1</v>
      </c>
      <c r="C10" s="14" t="n">
        <v>2.8</v>
      </c>
      <c r="D10" s="14" t="n">
        <v>66</v>
      </c>
      <c r="E10" s="14" t="n">
        <v>75</v>
      </c>
    </row>
    <row r="11" customFormat="false" ht="15" hidden="false" customHeight="false" outlineLevel="0" collapsed="false">
      <c r="A11" s="7" t="s">
        <v>78</v>
      </c>
      <c r="B11" s="14" t="n">
        <v>0.75</v>
      </c>
      <c r="C11" s="14" t="n">
        <v>3</v>
      </c>
      <c r="D11" s="14" t="n">
        <v>52</v>
      </c>
      <c r="E11" s="14" t="n">
        <v>83</v>
      </c>
    </row>
    <row r="12" customFormat="false" ht="15" hidden="false" customHeight="false" outlineLevel="0" collapsed="false">
      <c r="A12" s="7" t="s">
        <v>81</v>
      </c>
      <c r="B12" s="14" t="n">
        <v>0.6</v>
      </c>
      <c r="C12" s="14" t="n">
        <v>12.5</v>
      </c>
      <c r="D12" s="14" t="n">
        <v>64</v>
      </c>
      <c r="E12" s="14" t="n">
        <v>55</v>
      </c>
    </row>
    <row r="13" customFormat="false" ht="15" hidden="false" customHeight="false" outlineLevel="0" collapsed="false">
      <c r="A13" s="7" t="s">
        <v>84</v>
      </c>
      <c r="B13" s="14" t="n">
        <v>0.95</v>
      </c>
      <c r="C13" s="14" t="n">
        <v>9</v>
      </c>
      <c r="D13" s="14" t="n">
        <v>68</v>
      </c>
      <c r="E13" s="14" t="n">
        <v>65</v>
      </c>
    </row>
    <row r="15" customFormat="false" ht="15" hidden="false" customHeight="false" outlineLevel="0" collapsed="false">
      <c r="A15" s="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8"/>
  </cols>
  <sheetData>
    <row r="1" customFormat="false" ht="26.85" hidden="false" customHeight="false" outlineLevel="0" collapsed="false">
      <c r="A1" s="6" t="s">
        <v>29</v>
      </c>
      <c r="B1" s="6" t="s">
        <v>30</v>
      </c>
      <c r="C1" s="6" t="s">
        <v>31</v>
      </c>
      <c r="D1" s="6" t="s">
        <v>32</v>
      </c>
      <c r="E1" s="6" t="s">
        <v>93</v>
      </c>
      <c r="F1" s="6" t="s">
        <v>94</v>
      </c>
      <c r="G1" s="6" t="s">
        <v>95</v>
      </c>
      <c r="H1" s="6" t="s">
        <v>96</v>
      </c>
      <c r="I1" s="6" t="s">
        <v>97</v>
      </c>
      <c r="J1" s="6" t="s">
        <v>98</v>
      </c>
      <c r="K1" s="6" t="s">
        <v>99</v>
      </c>
      <c r="L1" s="6" t="s">
        <v>100</v>
      </c>
      <c r="M1" s="6" t="s">
        <v>101</v>
      </c>
      <c r="N1" s="6" t="s">
        <v>102</v>
      </c>
    </row>
    <row r="2" customFormat="false" ht="15" hidden="false" customHeight="false" outlineLevel="0" collapsed="false">
      <c r="A2" s="15" t="str">
        <f aca="false">Raw_Submissions!A2</f>
        <v>C001</v>
      </c>
      <c r="B2" s="15" t="str">
        <f aca="false">Raw_Submissions!B2</f>
        <v>Upgrade Govt Primary School Bldg</v>
      </c>
      <c r="C2" s="15" t="str">
        <f aca="false">Raw_Submissions!C2</f>
        <v>Education</v>
      </c>
      <c r="D2" s="15" t="str">
        <f aca="false">Raw_Submissions!D2</f>
        <v>Ward 4</v>
      </c>
      <c r="E2" s="7" t="n">
        <f aca="false">Raw_Submissions!E2*(1/(1+Raw_Submissions!F2/365))</f>
        <v>122.529550827423</v>
      </c>
      <c r="F2" s="16" t="n">
        <f aca="false">($E2-MIN($E$2:$E$13))/(MAX($E$2:$E$13)-MIN($E$2:$E$13))*100</f>
        <v>76.340685741455</v>
      </c>
      <c r="G2" s="7" t="n">
        <f aca="false">MAX(0,Need_Gap_Data!B2-1)*40 + (Need_Gap_Data!C2/20)*20 + (Need_Gap_Data!D2/100)*20 + (Need_Gap_Data!E2/100)*20</f>
        <v>35.2</v>
      </c>
      <c r="H2" s="16" t="n">
        <f aca="false">($G2-MIN($G$2:$G$13))/(MAX($G$2:$G$13)-MIN($G$2:$G$13))*100</f>
        <v>59.1591591591591</v>
      </c>
      <c r="I2" s="7" t="n">
        <f aca="false">Raw_Submissions!I2/Raw_Submissions!J2</f>
        <v>18.8888888888889</v>
      </c>
      <c r="J2" s="16" t="n">
        <f aca="false">($I2-MIN($I$2:$I$13))/(MAX($I$2:$I$13)-MIN($I$2:$I$13))*100</f>
        <v>9.98498498498499</v>
      </c>
      <c r="K2" s="16" t="n">
        <f aca="false">Raw_Submissions!H2*100</f>
        <v>0</v>
      </c>
      <c r="L2" s="7" t="n">
        <f aca="false">IF(Raw_Submissions!K2="Y",Assumptions_Weights!$B$10,0)</f>
        <v>0</v>
      </c>
      <c r="M2" s="16" t="n">
        <f aca="false">MIN(Assumptions_Weights!$B$11, F2*Assumptions_Weights!$B$4 + H2*Assumptions_Weights!$B$5 + J2*Assumptions_Weights!$B$6 + K2*Assumptions_Weights!$B$7 - L2)</f>
        <v>46.1041576743885</v>
      </c>
      <c r="N2" s="7" t="n">
        <f aca="false">RANK(M2,$M$2:$M$13)</f>
        <v>6</v>
      </c>
    </row>
    <row r="3" customFormat="false" ht="15" hidden="false" customHeight="false" outlineLevel="0" collapsed="false">
      <c r="A3" s="15" t="str">
        <f aca="false">Raw_Submissions!A3</f>
        <v>C002</v>
      </c>
      <c r="B3" s="15" t="str">
        <f aca="false">Raw_Submissions!B3</f>
        <v>New Vocational Training Centre</v>
      </c>
      <c r="C3" s="15" t="str">
        <f aca="false">Raw_Submissions!C3</f>
        <v>Education</v>
      </c>
      <c r="D3" s="15" t="str">
        <f aca="false">Raw_Submissions!D3</f>
        <v>Ward 7</v>
      </c>
      <c r="E3" s="7" t="n">
        <f aca="false">Raw_Submissions!E3*(1/(1+Raw_Submissions!F3/365))</f>
        <v>22.2679045092838</v>
      </c>
      <c r="F3" s="16" t="n">
        <f aca="false">($E3-MIN($E$2:$E$13))/(MAX($E$2:$E$13)-MIN($E$2:$E$13))*100</f>
        <v>5.37218373322675</v>
      </c>
      <c r="G3" s="7" t="n">
        <f aca="false">MAX(0,Need_Gap_Data!B3-1)*40 + (Need_Gap_Data!C3/20)*20 + (Need_Gap_Data!D3/100)*20 + (Need_Gap_Data!E3/100)*20</f>
        <v>36.3</v>
      </c>
      <c r="H3" s="16" t="n">
        <f aca="false">($G3-MIN($G$2:$G$13))/(MAX($G$2:$G$13)-MIN($G$2:$G$13))*100</f>
        <v>62.4624624624625</v>
      </c>
      <c r="I3" s="7" t="n">
        <f aca="false">Raw_Submissions!I3/Raw_Submissions!J3</f>
        <v>5.45454545454545</v>
      </c>
      <c r="J3" s="16" t="n">
        <f aca="false">($I3-MIN($I$2:$I$13))/(MAX($I$2:$I$13)-MIN($I$2:$I$13))*100</f>
        <v>0</v>
      </c>
      <c r="K3" s="16" t="n">
        <f aca="false">Raw_Submissions!H3*100</f>
        <v>0</v>
      </c>
      <c r="L3" s="7" t="n">
        <f aca="false">IF(Raw_Submissions!K3="Y",Assumptions_Weights!$B$10,0)</f>
        <v>0</v>
      </c>
      <c r="M3" s="16" t="n">
        <f aca="false">MIN(Assumptions_Weights!$B$11, F3*Assumptions_Weights!$B$4 + H3*Assumptions_Weights!$B$5 + J3*Assumptions_Weights!$B$6 + K3*Assumptions_Weights!$B$7 - L3)</f>
        <v>23.4735169818299</v>
      </c>
      <c r="N3" s="7" t="n">
        <f aca="false">RANK(M3,$M$2:$M$13)</f>
        <v>10</v>
      </c>
    </row>
    <row r="4" customFormat="false" ht="15" hidden="false" customHeight="false" outlineLevel="0" collapsed="false">
      <c r="A4" s="15" t="str">
        <f aca="false">Raw_Submissions!A4</f>
        <v>C003</v>
      </c>
      <c r="B4" s="15" t="str">
        <f aca="false">Raw_Submissions!B4</f>
        <v>Repair Access Road to Health Sub-Centre</v>
      </c>
      <c r="C4" s="15" t="str">
        <f aca="false">Raw_Submissions!C4</f>
        <v>Roads</v>
      </c>
      <c r="D4" s="15" t="str">
        <f aca="false">Raw_Submissions!D4</f>
        <v>Ward 2</v>
      </c>
      <c r="E4" s="7" t="n">
        <f aca="false">Raw_Submissions!E4*(1/(1+Raw_Submissions!F4/365))</f>
        <v>77.010989010989</v>
      </c>
      <c r="F4" s="16" t="n">
        <f aca="false">($E4-MIN($E$2:$E$13))/(MAX($E$2:$E$13)-MIN($E$2:$E$13))*100</f>
        <v>44.1211455253392</v>
      </c>
      <c r="G4" s="7" t="n">
        <f aca="false">MAX(0,Need_Gap_Data!B4-1)*40 + (Need_Gap_Data!C4/20)*20 + (Need_Gap_Data!D4/100)*20 + (Need_Gap_Data!E4/100)*20</f>
        <v>38.2</v>
      </c>
      <c r="H4" s="16" t="n">
        <f aca="false">($G4-MIN($G$2:$G$13))/(MAX($G$2:$G$13)-MIN($G$2:$G$13))*100</f>
        <v>68.1681681681682</v>
      </c>
      <c r="I4" s="7" t="n">
        <f aca="false">Raw_Submissions!I4/Raw_Submissions!J4</f>
        <v>113.333333333333</v>
      </c>
      <c r="J4" s="16" t="n">
        <f aca="false">($I4-MIN($I$2:$I$13))/(MAX($I$2:$I$13)-MIN($I$2:$I$13))*100</f>
        <v>80.1801801801802</v>
      </c>
      <c r="K4" s="16" t="n">
        <f aca="false">Raw_Submissions!H4*100</f>
        <v>100</v>
      </c>
      <c r="L4" s="7" t="n">
        <f aca="false">IF(Raw_Submissions!K4="Y",Assumptions_Weights!$B$10,0)</f>
        <v>0</v>
      </c>
      <c r="M4" s="16" t="n">
        <f aca="false">MIN(Assumptions_Weights!$B$11, F4*Assumptions_Weights!$B$4 + H4*Assumptions_Weights!$B$5 + J4*Assumptions_Weights!$B$6 + K4*Assumptions_Weights!$B$7 - L4)</f>
        <v>67.1402475615057</v>
      </c>
      <c r="N4" s="7" t="n">
        <f aca="false">RANK(M4,$M$2:$M$13)</f>
        <v>2</v>
      </c>
    </row>
    <row r="5" customFormat="false" ht="15" hidden="false" customHeight="false" outlineLevel="0" collapsed="false">
      <c r="A5" s="15" t="str">
        <f aca="false">Raw_Submissions!A5</f>
        <v>C004</v>
      </c>
      <c r="B5" s="15" t="str">
        <f aca="false">Raw_Submissions!B5</f>
        <v>Additional Classrooms - Enrollment Overflow</v>
      </c>
      <c r="C5" s="15" t="str">
        <f aca="false">Raw_Submissions!C5</f>
        <v>Education</v>
      </c>
      <c r="D5" s="15" t="str">
        <f aca="false">Raw_Submissions!D5</f>
        <v>Ward 4</v>
      </c>
      <c r="E5" s="7" t="n">
        <f aca="false">Raw_Submissions!E5*(1/(1+Raw_Submissions!F5/365))</f>
        <v>151.782178217822</v>
      </c>
      <c r="F5" s="16" t="n">
        <f aca="false">($E5-MIN($E$2:$E$13))/(MAX($E$2:$E$13)-MIN($E$2:$E$13))*100</f>
        <v>97.0466607771538</v>
      </c>
      <c r="G5" s="7" t="n">
        <f aca="false">MAX(0,Need_Gap_Data!B5-1)*40 + (Need_Gap_Data!C5/20)*20 + (Need_Gap_Data!D5/100)*20 + (Need_Gap_Data!E5/100)*20</f>
        <v>44.7</v>
      </c>
      <c r="H5" s="16" t="n">
        <f aca="false">($G5-MIN($G$2:$G$13))/(MAX($G$2:$G$13)-MIN($G$2:$G$13))*100</f>
        <v>87.6876876876877</v>
      </c>
      <c r="I5" s="7" t="n">
        <f aca="false">Raw_Submissions!I5/Raw_Submissions!J5</f>
        <v>15</v>
      </c>
      <c r="J5" s="16" t="n">
        <f aca="false">($I5-MIN($I$2:$I$13))/(MAX($I$2:$I$13)-MIN($I$2:$I$13))*100</f>
        <v>7.0945945945946</v>
      </c>
      <c r="K5" s="16" t="n">
        <f aca="false">Raw_Submissions!H5*100</f>
        <v>0</v>
      </c>
      <c r="L5" s="7" t="n">
        <f aca="false">IF(Raw_Submissions!K5="Y",Assumptions_Weights!$B$10,0)</f>
        <v>0</v>
      </c>
      <c r="M5" s="16" t="n">
        <f aca="false">MIN(Assumptions_Weights!$B$11, F5*Assumptions_Weights!$B$4 + H5*Assumptions_Weights!$B$5 + J5*Assumptions_Weights!$B$6 + K5*Assumptions_Weights!$B$7 - L5)</f>
        <v>61.5783375724855</v>
      </c>
      <c r="N5" s="7" t="n">
        <f aca="false">RANK(M5,$M$2:$M$13)</f>
        <v>3</v>
      </c>
    </row>
    <row r="6" customFormat="false" ht="15" hidden="false" customHeight="false" outlineLevel="0" collapsed="false">
      <c r="A6" s="15" t="str">
        <f aca="false">Raw_Submissions!A6</f>
        <v>C005</v>
      </c>
      <c r="B6" s="15" t="str">
        <f aca="false">Raw_Submissions!B6</f>
        <v>Streetlights - Public Safety</v>
      </c>
      <c r="C6" s="15" t="str">
        <f aca="false">Raw_Submissions!C6</f>
        <v>Infrastructure</v>
      </c>
      <c r="D6" s="15" t="str">
        <f aca="false">Raw_Submissions!D6</f>
        <v>Ward 9</v>
      </c>
      <c r="E6" s="7" t="n">
        <f aca="false">Raw_Submissions!E6*(1/(1+Raw_Submissions!F6/365))</f>
        <v>63.5194805194805</v>
      </c>
      <c r="F6" s="16" t="n">
        <f aca="false">($E6-MIN($E$2:$E$13))/(MAX($E$2:$E$13)-MIN($E$2:$E$13))*100</f>
        <v>34.571410580478</v>
      </c>
      <c r="G6" s="7" t="n">
        <f aca="false">MAX(0,Need_Gap_Data!B6-1)*40 + (Need_Gap_Data!C6/20)*20 + (Need_Gap_Data!D6/100)*20 + (Need_Gap_Data!E6/100)*20</f>
        <v>26.3</v>
      </c>
      <c r="H6" s="16" t="n">
        <f aca="false">($G6-MIN($G$2:$G$13))/(MAX($G$2:$G$13)-MIN($G$2:$G$13))*100</f>
        <v>32.4324324324324</v>
      </c>
      <c r="I6" s="7" t="n">
        <f aca="false">Raw_Submissions!I6/Raw_Submissions!J6</f>
        <v>140</v>
      </c>
      <c r="J6" s="16" t="n">
        <f aca="false">($I6-MIN($I$2:$I$13))/(MAX($I$2:$I$13)-MIN($I$2:$I$13))*100</f>
        <v>100</v>
      </c>
      <c r="K6" s="16" t="n">
        <f aca="false">Raw_Submissions!H6*100</f>
        <v>100</v>
      </c>
      <c r="L6" s="7" t="n">
        <f aca="false">IF(Raw_Submissions!K6="Y",Assumptions_Weights!$B$10,0)</f>
        <v>0</v>
      </c>
      <c r="M6" s="16" t="n">
        <f aca="false">MIN(Assumptions_Weights!$B$11, F6*Assumptions_Weights!$B$4 + H6*Assumptions_Weights!$B$5 + J6*Assumptions_Weights!$B$6 + K6*Assumptions_Weights!$B$7 - L6)</f>
        <v>56.7227745254948</v>
      </c>
      <c r="N6" s="7" t="n">
        <f aca="false">RANK(M6,$M$2:$M$13)</f>
        <v>4</v>
      </c>
    </row>
    <row r="7" customFormat="false" ht="15" hidden="false" customHeight="false" outlineLevel="0" collapsed="false">
      <c r="A7" s="15" t="str">
        <f aca="false">Raw_Submissions!A7</f>
        <v>C006</v>
      </c>
      <c r="B7" s="15" t="str">
        <f aca="false">Raw_Submissions!B7</f>
        <v>Water Supply Pipeline Extension</v>
      </c>
      <c r="C7" s="15" t="str">
        <f aca="false">Raw_Submissions!C7</f>
        <v>Water</v>
      </c>
      <c r="D7" s="15" t="str">
        <f aca="false">Raw_Submissions!D7</f>
        <v>Ward 5</v>
      </c>
      <c r="E7" s="7" t="n">
        <f aca="false">Raw_Submissions!E7*(1/(1+Raw_Submissions!F7/365))</f>
        <v>155.954545454545</v>
      </c>
      <c r="F7" s="16" t="n">
        <f aca="false">($E7-MIN($E$2:$E$13))/(MAX($E$2:$E$13)-MIN($E$2:$E$13))*100</f>
        <v>100</v>
      </c>
      <c r="G7" s="7" t="n">
        <f aca="false">MAX(0,Need_Gap_Data!B7-1)*40 + (Need_Gap_Data!C7/20)*20 + (Need_Gap_Data!D7/100)*20 + (Need_Gap_Data!E7/100)*20</f>
        <v>39.4</v>
      </c>
      <c r="H7" s="16" t="n">
        <f aca="false">($G7-MIN($G$2:$G$13))/(MAX($G$2:$G$13)-MIN($G$2:$G$13))*100</f>
        <v>71.7717717717718</v>
      </c>
      <c r="I7" s="7" t="n">
        <f aca="false">Raw_Submissions!I7/Raw_Submissions!J7</f>
        <v>56.25</v>
      </c>
      <c r="J7" s="16" t="n">
        <f aca="false">($I7-MIN($I$2:$I$13))/(MAX($I$2:$I$13)-MIN($I$2:$I$13))*100</f>
        <v>37.7533783783784</v>
      </c>
      <c r="K7" s="16" t="n">
        <f aca="false">Raw_Submissions!H7*100</f>
        <v>100</v>
      </c>
      <c r="L7" s="7" t="n">
        <f aca="false">IF(Raw_Submissions!K7="Y",Assumptions_Weights!$B$10,0)</f>
        <v>0</v>
      </c>
      <c r="M7" s="16" t="n">
        <f aca="false">MIN(Assumptions_Weights!$B$11, F7*Assumptions_Weights!$B$4 + H7*Assumptions_Weights!$B$5 + J7*Assumptions_Weights!$B$6 + K7*Assumptions_Weights!$B$7 - L7)</f>
        <v>74.5584647147147</v>
      </c>
      <c r="N7" s="7" t="n">
        <f aca="false">RANK(M7,$M$2:$M$13)</f>
        <v>1</v>
      </c>
    </row>
    <row r="8" customFormat="false" ht="15" hidden="false" customHeight="false" outlineLevel="0" collapsed="false">
      <c r="A8" s="15" t="str">
        <f aca="false">Raw_Submissions!A8</f>
        <v>C007</v>
      </c>
      <c r="B8" s="15" t="str">
        <f aca="false">Raw_Submissions!B8</f>
        <v>Community Health Sub-Centre Upgrade</v>
      </c>
      <c r="C8" s="15" t="str">
        <f aca="false">Raw_Submissions!C8</f>
        <v>Health</v>
      </c>
      <c r="D8" s="15" t="str">
        <f aca="false">Raw_Submissions!D8</f>
        <v>Ward 2</v>
      </c>
      <c r="E8" s="7" t="n">
        <f aca="false">Raw_Submissions!E8*(1/(1+Raw_Submissions!F8/365))</f>
        <v>48.0731707317073</v>
      </c>
      <c r="F8" s="16" t="n">
        <f aca="false">($E8-MIN($E$2:$E$13))/(MAX($E$2:$E$13)-MIN($E$2:$E$13))*100</f>
        <v>23.6380027675348</v>
      </c>
      <c r="G8" s="7" t="n">
        <f aca="false">MAX(0,Need_Gap_Data!B8-1)*40 + (Need_Gap_Data!C8/20)*20 + (Need_Gap_Data!D8/100)*20 + (Need_Gap_Data!E8/100)*20</f>
        <v>48.8</v>
      </c>
      <c r="H8" s="16" t="n">
        <f aca="false">($G8-MIN($G$2:$G$13))/(MAX($G$2:$G$13)-MIN($G$2:$G$13))*100</f>
        <v>100</v>
      </c>
      <c r="I8" s="7" t="n">
        <f aca="false">Raw_Submissions!I8/Raw_Submissions!J8</f>
        <v>61.8181818181818</v>
      </c>
      <c r="J8" s="16" t="n">
        <f aca="false">($I8-MIN($I$2:$I$13))/(MAX($I$2:$I$13)-MIN($I$2:$I$13))*100</f>
        <v>41.8918918918919</v>
      </c>
      <c r="K8" s="16" t="n">
        <f aca="false">Raw_Submissions!H8*100</f>
        <v>0</v>
      </c>
      <c r="L8" s="7" t="n">
        <f aca="false">IF(Raw_Submissions!K8="Y",Assumptions_Weights!$B$10,0)</f>
        <v>0</v>
      </c>
      <c r="M8" s="16" t="n">
        <f aca="false">MIN(Assumptions_Weights!$B$11, F8*Assumptions_Weights!$B$4 + H8*Assumptions_Weights!$B$5 + J8*Assumptions_Weights!$B$6 + K8*Assumptions_Weights!$B$7 - L8)</f>
        <v>52.5643738032334</v>
      </c>
      <c r="N8" s="7" t="n">
        <f aca="false">RANK(M8,$M$2:$M$13)</f>
        <v>5</v>
      </c>
    </row>
    <row r="9" customFormat="false" ht="15" hidden="false" customHeight="false" outlineLevel="0" collapsed="false">
      <c r="A9" s="15" t="str">
        <f aca="false">Raw_Submissions!A9</f>
        <v>C008</v>
      </c>
      <c r="B9" s="15" t="str">
        <f aca="false">Raw_Submissions!B9</f>
        <v>Bus Shelter Construction</v>
      </c>
      <c r="C9" s="15" t="str">
        <f aca="false">Raw_Submissions!C9</f>
        <v>Infrastructure</v>
      </c>
      <c r="D9" s="15" t="str">
        <f aca="false">Raw_Submissions!D9</f>
        <v>Ward 7</v>
      </c>
      <c r="E9" s="7" t="n">
        <f aca="false">Raw_Submissions!E9*(1/(1+Raw_Submissions!F9/365))</f>
        <v>16.6329113924051</v>
      </c>
      <c r="F9" s="16" t="n">
        <f aca="false">($E9-MIN($E$2:$E$13))/(MAX($E$2:$E$13)-MIN($E$2:$E$13))*100</f>
        <v>1.38354964414925</v>
      </c>
      <c r="G9" s="7" t="n">
        <f aca="false">MAX(0,Need_Gap_Data!B9-1)*40 + (Need_Gap_Data!C9/20)*20 + (Need_Gap_Data!D9/100)*20 + (Need_Gap_Data!E9/100)*20</f>
        <v>15.5</v>
      </c>
      <c r="H9" s="16" t="n">
        <f aca="false">($G9-MIN($G$2:$G$13))/(MAX($G$2:$G$13)-MIN($G$2:$G$13))*100</f>
        <v>0</v>
      </c>
      <c r="I9" s="7" t="n">
        <f aca="false">Raw_Submissions!I9/Raw_Submissions!J9</f>
        <v>75</v>
      </c>
      <c r="J9" s="16" t="n">
        <f aca="false">($I9-MIN($I$2:$I$13))/(MAX($I$2:$I$13)-MIN($I$2:$I$13))*100</f>
        <v>51.6891891891892</v>
      </c>
      <c r="K9" s="16" t="n">
        <f aca="false">Raw_Submissions!H9*100</f>
        <v>0</v>
      </c>
      <c r="L9" s="7" t="n">
        <f aca="false">IF(Raw_Submissions!K9="Y",Assumptions_Weights!$B$10,0)</f>
        <v>0</v>
      </c>
      <c r="M9" s="16" t="n">
        <f aca="false">MIN(Assumptions_Weights!$B$11, F9*Assumptions_Weights!$B$4 + H9*Assumptions_Weights!$B$5 + J9*Assumptions_Weights!$B$6 + K9*Assumptions_Weights!$B$7 - L9)</f>
        <v>13.3373621905421</v>
      </c>
      <c r="N9" s="7" t="n">
        <f aca="false">RANK(M9,$M$2:$M$13)</f>
        <v>12</v>
      </c>
    </row>
    <row r="10" customFormat="false" ht="15" hidden="false" customHeight="false" outlineLevel="0" collapsed="false">
      <c r="A10" s="15" t="str">
        <f aca="false">Raw_Submissions!A10</f>
        <v>C009</v>
      </c>
      <c r="B10" s="15" t="str">
        <f aca="false">Raw_Submissions!B10</f>
        <v>Girls Toilet Block - Govt School</v>
      </c>
      <c r="C10" s="15" t="str">
        <f aca="false">Raw_Submissions!C10</f>
        <v>Education</v>
      </c>
      <c r="D10" s="15" t="str">
        <f aca="false">Raw_Submissions!D10</f>
        <v>Ward 6</v>
      </c>
      <c r="E10" s="7" t="n">
        <f aca="false">Raw_Submissions!E10*(1/(1+Raw_Submissions!F10/365))</f>
        <v>37.4605263157895</v>
      </c>
      <c r="F10" s="16" t="n">
        <f aca="false">($E10-MIN($E$2:$E$13))/(MAX($E$2:$E$13)-MIN($E$2:$E$13))*100</f>
        <v>16.1260228210473</v>
      </c>
      <c r="G10" s="7" t="n">
        <f aca="false">MAX(0,Need_Gap_Data!B10-1)*40 + (Need_Gap_Data!C10/20)*20 + (Need_Gap_Data!D10/100)*20 + (Need_Gap_Data!E10/100)*20</f>
        <v>35</v>
      </c>
      <c r="H10" s="16" t="n">
        <f aca="false">($G10-MIN($G$2:$G$13))/(MAX($G$2:$G$13)-MIN($G$2:$G$13))*100</f>
        <v>58.5585585585586</v>
      </c>
      <c r="I10" s="7" t="n">
        <f aca="false">Raw_Submissions!I10/Raw_Submissions!J10</f>
        <v>34.1666666666667</v>
      </c>
      <c r="J10" s="16" t="n">
        <f aca="false">($I10-MIN($I$2:$I$13))/(MAX($I$2:$I$13)-MIN($I$2:$I$13))*100</f>
        <v>21.3400900900901</v>
      </c>
      <c r="K10" s="16" t="n">
        <f aca="false">Raw_Submissions!H10*100</f>
        <v>100</v>
      </c>
      <c r="L10" s="7" t="n">
        <f aca="false">IF(Raw_Submissions!K10="Y",Assumptions_Weights!$B$10,0)</f>
        <v>0</v>
      </c>
      <c r="M10" s="16" t="n">
        <f aca="false">MIN(Assumptions_Weights!$B$11, F10*Assumptions_Weights!$B$4 + H10*Assumptions_Weights!$B$5 + J10*Assumptions_Weights!$B$6 + K10*Assumptions_Weights!$B$7 - L10)</f>
        <v>40.6683248643322</v>
      </c>
      <c r="N10" s="7" t="n">
        <f aca="false">RANK(M10,$M$2:$M$13)</f>
        <v>8</v>
      </c>
    </row>
    <row r="11" customFormat="false" ht="15" hidden="false" customHeight="false" outlineLevel="0" collapsed="false">
      <c r="A11" s="15" t="str">
        <f aca="false">Raw_Submissions!A11</f>
        <v>C010</v>
      </c>
      <c r="B11" s="15" t="str">
        <f aca="false">Raw_Submissions!B11</f>
        <v>Drainage/Flood Mitigation Works</v>
      </c>
      <c r="C11" s="15" t="str">
        <f aca="false">Raw_Submissions!C11</f>
        <v>Infrastructure</v>
      </c>
      <c r="D11" s="15" t="str">
        <f aca="false">Raw_Submissions!D11</f>
        <v>Ward 9</v>
      </c>
      <c r="E11" s="7" t="n">
        <f aca="false">Raw_Submissions!E11*(1/(1+Raw_Submissions!F11/365))</f>
        <v>94.9784946236559</v>
      </c>
      <c r="F11" s="16" t="n">
        <f aca="false">($E11-MIN($E$2:$E$13))/(MAX($E$2:$E$13)-MIN($E$2:$E$13))*100</f>
        <v>56.8391389453685</v>
      </c>
      <c r="G11" s="7" t="n">
        <f aca="false">MAX(0,Need_Gap_Data!B11-1)*40 + (Need_Gap_Data!C11/20)*20 + (Need_Gap_Data!D11/100)*20 + (Need_Gap_Data!E11/100)*20</f>
        <v>30</v>
      </c>
      <c r="H11" s="16" t="n">
        <f aca="false">($G11-MIN($G$2:$G$13))/(MAX($G$2:$G$13)-MIN($G$2:$G$13))*100</f>
        <v>43.5435435435435</v>
      </c>
      <c r="I11" s="7" t="n">
        <f aca="false">Raw_Submissions!I11/Raw_Submissions!J11</f>
        <v>22.1052631578947</v>
      </c>
      <c r="J11" s="16" t="n">
        <f aca="false">($I11-MIN($I$2:$I$13))/(MAX($I$2:$I$13)-MIN($I$2:$I$13))*100</f>
        <v>12.375533428165</v>
      </c>
      <c r="K11" s="16" t="n">
        <f aca="false">Raw_Submissions!H11*100</f>
        <v>100</v>
      </c>
      <c r="L11" s="7" t="n">
        <f aca="false">IF(Raw_Submissions!K11="Y",Assumptions_Weights!$B$10,0)</f>
        <v>0</v>
      </c>
      <c r="M11" s="16" t="n">
        <f aca="false">MIN(Assumptions_Weights!$B$11, F11*Assumptions_Weights!$B$4 + H11*Assumptions_Weights!$B$5 + J11*Assumptions_Weights!$B$6 + K11*Assumptions_Weights!$B$7 - L11)</f>
        <v>45.3858652808921</v>
      </c>
      <c r="N11" s="7" t="n">
        <f aca="false">RANK(M11,$M$2:$M$13)</f>
        <v>7</v>
      </c>
    </row>
    <row r="12" customFormat="false" ht="15" hidden="false" customHeight="false" outlineLevel="0" collapsed="false">
      <c r="A12" s="15" t="str">
        <f aca="false">Raw_Submissions!A12</f>
        <v>C011</v>
      </c>
      <c r="B12" s="15" t="str">
        <f aca="false">Raw_Submissions!B12</f>
        <v>Skill Development Centre (duplicate of vocational ask)</v>
      </c>
      <c r="C12" s="15" t="str">
        <f aca="false">Raw_Submissions!C12</f>
        <v>Education</v>
      </c>
      <c r="D12" s="15" t="str">
        <f aca="false">Raw_Submissions!D12</f>
        <v>Ward 7</v>
      </c>
      <c r="E12" s="7" t="n">
        <f aca="false">Raw_Submissions!E12*(1/(1+Raw_Submissions!F12/365))</f>
        <v>14.6782841823056</v>
      </c>
      <c r="F12" s="16" t="n">
        <f aca="false">($E12-MIN($E$2:$E$13))/(MAX($E$2:$E$13)-MIN($E$2:$E$13))*100</f>
        <v>0</v>
      </c>
      <c r="G12" s="7" t="n">
        <f aca="false">MAX(0,Need_Gap_Data!B12-1)*40 + (Need_Gap_Data!C12/20)*20 + (Need_Gap_Data!D12/100)*20 + (Need_Gap_Data!E12/100)*20</f>
        <v>36.3</v>
      </c>
      <c r="H12" s="16" t="n">
        <f aca="false">($G12-MIN($G$2:$G$13))/(MAX($G$2:$G$13)-MIN($G$2:$G$13))*100</f>
        <v>62.4624624624625</v>
      </c>
      <c r="I12" s="7" t="n">
        <f aca="false">Raw_Submissions!I12/Raw_Submissions!J12</f>
        <v>5.71428571428571</v>
      </c>
      <c r="J12" s="16" t="n">
        <f aca="false">($I12-MIN($I$2:$I$13))/(MAX($I$2:$I$13)-MIN($I$2:$I$13))*100</f>
        <v>0.193050193050193</v>
      </c>
      <c r="K12" s="16" t="n">
        <f aca="false">Raw_Submissions!H12*100</f>
        <v>0</v>
      </c>
      <c r="L12" s="7" t="n">
        <f aca="false">IF(Raw_Submissions!K12="Y",Assumptions_Weights!$B$10,0)</f>
        <v>5</v>
      </c>
      <c r="M12" s="16" t="n">
        <f aca="false">MIN(Assumptions_Weights!$B$11, F12*Assumptions_Weights!$B$4 + H12*Assumptions_Weights!$B$5 + J12*Assumptions_Weights!$B$6 + K12*Assumptions_Weights!$B$7 - L12)</f>
        <v>16.9101244101244</v>
      </c>
      <c r="N12" s="7" t="n">
        <f aca="false">RANK(M12,$M$2:$M$13)</f>
        <v>11</v>
      </c>
    </row>
    <row r="13" customFormat="false" ht="15" hidden="false" customHeight="false" outlineLevel="0" collapsed="false">
      <c r="A13" s="15" t="str">
        <f aca="false">Raw_Submissions!A13</f>
        <v>C012</v>
      </c>
      <c r="B13" s="15" t="str">
        <f aca="false">Raw_Submissions!B13</f>
        <v>Anganwadi Centre Renovation</v>
      </c>
      <c r="C13" s="15" t="str">
        <f aca="false">Raw_Submissions!C13</f>
        <v>Health</v>
      </c>
      <c r="D13" s="15" t="str">
        <f aca="false">Raw_Submissions!D13</f>
        <v>Ward 3</v>
      </c>
      <c r="E13" s="7" t="n">
        <f aca="false">Raw_Submissions!E13*(1/(1+Raw_Submissions!F13/365))</f>
        <v>38.6987951807229</v>
      </c>
      <c r="F13" s="16" t="n">
        <f aca="false">($E13-MIN($E$2:$E$13))/(MAX($E$2:$E$13)-MIN($E$2:$E$13))*100</f>
        <v>17.0025103878773</v>
      </c>
      <c r="G13" s="7" t="n">
        <f aca="false">MAX(0,Need_Gap_Data!B13-1)*40 + (Need_Gap_Data!C13/20)*20 + (Need_Gap_Data!D13/100)*20 + (Need_Gap_Data!E13/100)*20</f>
        <v>35.6</v>
      </c>
      <c r="H13" s="16" t="n">
        <f aca="false">($G13-MIN($G$2:$G$13))/(MAX($G$2:$G$13)-MIN($G$2:$G$13))*100</f>
        <v>60.3603603603604</v>
      </c>
      <c r="I13" s="7" t="n">
        <f aca="false">Raw_Submissions!I13/Raw_Submissions!J13</f>
        <v>30</v>
      </c>
      <c r="J13" s="16" t="n">
        <f aca="false">($I13-MIN($I$2:$I$13))/(MAX($I$2:$I$13)-MIN($I$2:$I$13))*100</f>
        <v>18.2432432432432</v>
      </c>
      <c r="K13" s="16" t="n">
        <f aca="false">Raw_Submissions!H13*100</f>
        <v>0</v>
      </c>
      <c r="L13" s="7" t="n">
        <f aca="false">IF(Raw_Submissions!K13="Y",Assumptions_Weights!$B$10,0)</f>
        <v>0</v>
      </c>
      <c r="M13" s="16" t="n">
        <f aca="false">MIN(Assumptions_Weights!$B$11, F13*Assumptions_Weights!$B$4 + H13*Assumptions_Weights!$B$5 + J13*Assumptions_Weights!$B$6 + K13*Assumptions_Weights!$B$7 - L13)</f>
        <v>30.7876900533001</v>
      </c>
      <c r="N13" s="7" t="n">
        <f aca="false">RANK(M13,$M$2:$M$13)</f>
        <v>9</v>
      </c>
    </row>
  </sheetData>
  <conditionalFormatting sqref="M2:M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7" t="s">
        <v>103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6" t="s">
        <v>102</v>
      </c>
      <c r="B3" s="6" t="s">
        <v>104</v>
      </c>
      <c r="C3" s="6" t="s">
        <v>31</v>
      </c>
      <c r="D3" s="6" t="s">
        <v>32</v>
      </c>
      <c r="E3" s="6" t="s">
        <v>105</v>
      </c>
      <c r="F3" s="6" t="s">
        <v>106</v>
      </c>
    </row>
    <row r="4" customFormat="false" ht="15" hidden="false" customHeight="false" outlineLevel="0" collapsed="false">
      <c r="A4" s="7" t="n">
        <v>1</v>
      </c>
      <c r="B4" s="15" t="str">
        <f aca="false">INDEX(Scoring_Engine!$B$2:$B$13,MATCH(1,Scoring_Engine!$N$2:$N$13,0))</f>
        <v>Water Supply Pipeline Extension</v>
      </c>
      <c r="C4" s="15" t="str">
        <f aca="false">INDEX(Scoring_Engine!$C$2:$C$13,MATCH(1,Scoring_Engine!$N$2:$N$13,0))</f>
        <v>Water</v>
      </c>
      <c r="D4" s="15" t="str">
        <f aca="false">INDEX(Scoring_Engine!$D$2:$D$13,MATCH(1,Scoring_Engine!$N$2:$N$13,0))</f>
        <v>Ward 5</v>
      </c>
      <c r="E4" s="18" t="n">
        <f aca="false">INDEX(Scoring_Engine!$M$2:$M$13,MATCH(1,Scoring_Engine!$N$2:$N$13,0))</f>
        <v>74.5584647147147</v>
      </c>
      <c r="F4" s="7" t="str">
        <f aca="false">"High score driven by demand ("&amp;TEXT(INDEX(Scoring_Engine!$F$2:$F$13,MATCH(1,Scoring_Engine!$N$2:$N$13,0)),"0")&amp;"), need-gap ("&amp;TEXT(INDEX(Scoring_Engine!$H$2:$H$13,MATCH(1,Scoring_Engine!$N$2:$N$13,0)),"0")&amp;")"</f>
        <v>High score driven by demand (100), need-gap (72)</v>
      </c>
    </row>
    <row r="5" customFormat="false" ht="15" hidden="false" customHeight="false" outlineLevel="0" collapsed="false">
      <c r="A5" s="7" t="n">
        <v>2</v>
      </c>
      <c r="B5" s="15" t="str">
        <f aca="false">INDEX(Scoring_Engine!$B$2:$B$13,MATCH(2,Scoring_Engine!$N$2:$N$13,0))</f>
        <v>Repair Access Road to Health Sub-Centre</v>
      </c>
      <c r="C5" s="15" t="str">
        <f aca="false">INDEX(Scoring_Engine!$C$2:$C$13,MATCH(2,Scoring_Engine!$N$2:$N$13,0))</f>
        <v>Roads</v>
      </c>
      <c r="D5" s="15" t="str">
        <f aca="false">INDEX(Scoring_Engine!$D$2:$D$13,MATCH(2,Scoring_Engine!$N$2:$N$13,0))</f>
        <v>Ward 2</v>
      </c>
      <c r="E5" s="18" t="n">
        <f aca="false">INDEX(Scoring_Engine!$M$2:$M$13,MATCH(2,Scoring_Engine!$N$2:$N$13,0))</f>
        <v>67.1402475615057</v>
      </c>
      <c r="F5" s="7" t="str">
        <f aca="false">"High score driven by demand ("&amp;TEXT(INDEX(Scoring_Engine!$F$2:$F$13,MATCH(2,Scoring_Engine!$N$2:$N$13,0)),"0")&amp;"), need-gap ("&amp;TEXT(INDEX(Scoring_Engine!$H$2:$H$13,MATCH(2,Scoring_Engine!$N$2:$N$13,0)),"0")&amp;")"</f>
        <v>High score driven by demand (44), need-gap (68)</v>
      </c>
    </row>
    <row r="6" customFormat="false" ht="15" hidden="false" customHeight="false" outlineLevel="0" collapsed="false">
      <c r="A6" s="7" t="n">
        <v>3</v>
      </c>
      <c r="B6" s="15" t="str">
        <f aca="false">INDEX(Scoring_Engine!$B$2:$B$13,MATCH(3,Scoring_Engine!$N$2:$N$13,0))</f>
        <v>Additional Classrooms - Enrollment Overflow</v>
      </c>
      <c r="C6" s="15" t="str">
        <f aca="false">INDEX(Scoring_Engine!$C$2:$C$13,MATCH(3,Scoring_Engine!$N$2:$N$13,0))</f>
        <v>Education</v>
      </c>
      <c r="D6" s="15" t="str">
        <f aca="false">INDEX(Scoring_Engine!$D$2:$D$13,MATCH(3,Scoring_Engine!$N$2:$N$13,0))</f>
        <v>Ward 4</v>
      </c>
      <c r="E6" s="18" t="n">
        <f aca="false">INDEX(Scoring_Engine!$M$2:$M$13,MATCH(3,Scoring_Engine!$N$2:$N$13,0))</f>
        <v>61.5783375724855</v>
      </c>
      <c r="F6" s="7" t="str">
        <f aca="false">"High score driven by demand ("&amp;TEXT(INDEX(Scoring_Engine!$F$2:$F$13,MATCH(3,Scoring_Engine!$N$2:$N$13,0)),"0")&amp;"), need-gap ("&amp;TEXT(INDEX(Scoring_Engine!$H$2:$H$13,MATCH(3,Scoring_Engine!$N$2:$N$13,0)),"0")&amp;")"</f>
        <v>High score driven by demand (97), need-gap (88)</v>
      </c>
    </row>
    <row r="7" customFormat="false" ht="15" hidden="false" customHeight="false" outlineLevel="0" collapsed="false">
      <c r="A7" s="7" t="n">
        <v>4</v>
      </c>
      <c r="B7" s="15" t="str">
        <f aca="false">INDEX(Scoring_Engine!$B$2:$B$13,MATCH(4,Scoring_Engine!$N$2:$N$13,0))</f>
        <v>Streetlights - Public Safety</v>
      </c>
      <c r="C7" s="15" t="str">
        <f aca="false">INDEX(Scoring_Engine!$C$2:$C$13,MATCH(4,Scoring_Engine!$N$2:$N$13,0))</f>
        <v>Infrastructure</v>
      </c>
      <c r="D7" s="15" t="str">
        <f aca="false">INDEX(Scoring_Engine!$D$2:$D$13,MATCH(4,Scoring_Engine!$N$2:$N$13,0))</f>
        <v>Ward 9</v>
      </c>
      <c r="E7" s="18" t="n">
        <f aca="false">INDEX(Scoring_Engine!$M$2:$M$13,MATCH(4,Scoring_Engine!$N$2:$N$13,0))</f>
        <v>56.7227745254948</v>
      </c>
      <c r="F7" s="7" t="str">
        <f aca="false">"High score driven by demand ("&amp;TEXT(INDEX(Scoring_Engine!$F$2:$F$13,MATCH(4,Scoring_Engine!$N$2:$N$13,0)),"0")&amp;"), need-gap ("&amp;TEXT(INDEX(Scoring_Engine!$H$2:$H$13,MATCH(4,Scoring_Engine!$N$2:$N$13,0)),"0")&amp;")"</f>
        <v>High score driven by demand (35), need-gap (32)</v>
      </c>
    </row>
    <row r="8" customFormat="false" ht="15" hidden="false" customHeight="false" outlineLevel="0" collapsed="false">
      <c r="A8" s="7" t="n">
        <v>5</v>
      </c>
      <c r="B8" s="15" t="str">
        <f aca="false">INDEX(Scoring_Engine!$B$2:$B$13,MATCH(5,Scoring_Engine!$N$2:$N$13,0))</f>
        <v>Community Health Sub-Centre Upgrade</v>
      </c>
      <c r="C8" s="15" t="str">
        <f aca="false">INDEX(Scoring_Engine!$C$2:$C$13,MATCH(5,Scoring_Engine!$N$2:$N$13,0))</f>
        <v>Health</v>
      </c>
      <c r="D8" s="15" t="str">
        <f aca="false">INDEX(Scoring_Engine!$D$2:$D$13,MATCH(5,Scoring_Engine!$N$2:$N$13,0))</f>
        <v>Ward 2</v>
      </c>
      <c r="E8" s="18" t="n">
        <f aca="false">INDEX(Scoring_Engine!$M$2:$M$13,MATCH(5,Scoring_Engine!$N$2:$N$13,0))</f>
        <v>52.5643738032334</v>
      </c>
      <c r="F8" s="7" t="str">
        <f aca="false">"High score driven by demand ("&amp;TEXT(INDEX(Scoring_Engine!$F$2:$F$13,MATCH(5,Scoring_Engine!$N$2:$N$13,0)),"0")&amp;"), need-gap ("&amp;TEXT(INDEX(Scoring_Engine!$H$2:$H$13,MATCH(5,Scoring_Engine!$N$2:$N$13,0)),"0")&amp;")"</f>
        <v>High score driven by demand (24), need-gap (100)</v>
      </c>
    </row>
    <row r="9" customFormat="false" ht="15" hidden="false" customHeight="false" outlineLevel="0" collapsed="false">
      <c r="A9" s="7" t="n">
        <v>6</v>
      </c>
      <c r="B9" s="15" t="str">
        <f aca="false">INDEX(Scoring_Engine!$B$2:$B$13,MATCH(6,Scoring_Engine!$N$2:$N$13,0))</f>
        <v>Upgrade Govt Primary School Bldg</v>
      </c>
      <c r="C9" s="15" t="str">
        <f aca="false">INDEX(Scoring_Engine!$C$2:$C$13,MATCH(6,Scoring_Engine!$N$2:$N$13,0))</f>
        <v>Education</v>
      </c>
      <c r="D9" s="15" t="str">
        <f aca="false">INDEX(Scoring_Engine!$D$2:$D$13,MATCH(6,Scoring_Engine!$N$2:$N$13,0))</f>
        <v>Ward 4</v>
      </c>
      <c r="E9" s="18" t="n">
        <f aca="false">INDEX(Scoring_Engine!$M$2:$M$13,MATCH(6,Scoring_Engine!$N$2:$N$13,0))</f>
        <v>46.1041576743885</v>
      </c>
      <c r="F9" s="7" t="str">
        <f aca="false">"High score driven by demand ("&amp;TEXT(INDEX(Scoring_Engine!$F$2:$F$13,MATCH(6,Scoring_Engine!$N$2:$N$13,0)),"0")&amp;"), need-gap ("&amp;TEXT(INDEX(Scoring_Engine!$H$2:$H$13,MATCH(6,Scoring_Engine!$N$2:$N$13,0)),"0")&amp;")"</f>
        <v>High score driven by demand (76), need-gap (59)</v>
      </c>
    </row>
    <row r="10" customFormat="false" ht="15" hidden="false" customHeight="false" outlineLevel="0" collapsed="false">
      <c r="A10" s="7" t="n">
        <v>7</v>
      </c>
      <c r="B10" s="15" t="str">
        <f aca="false">INDEX(Scoring_Engine!$B$2:$B$13,MATCH(7,Scoring_Engine!$N$2:$N$13,0))</f>
        <v>Drainage/Flood Mitigation Works</v>
      </c>
      <c r="C10" s="15" t="str">
        <f aca="false">INDEX(Scoring_Engine!$C$2:$C$13,MATCH(7,Scoring_Engine!$N$2:$N$13,0))</f>
        <v>Infrastructure</v>
      </c>
      <c r="D10" s="15" t="str">
        <f aca="false">INDEX(Scoring_Engine!$D$2:$D$13,MATCH(7,Scoring_Engine!$N$2:$N$13,0))</f>
        <v>Ward 9</v>
      </c>
      <c r="E10" s="18" t="n">
        <f aca="false">INDEX(Scoring_Engine!$M$2:$M$13,MATCH(7,Scoring_Engine!$N$2:$N$13,0))</f>
        <v>45.3858652808921</v>
      </c>
      <c r="F10" s="7" t="str">
        <f aca="false">"High score driven by demand ("&amp;TEXT(INDEX(Scoring_Engine!$F$2:$F$13,MATCH(7,Scoring_Engine!$N$2:$N$13,0)),"0")&amp;"), need-gap ("&amp;TEXT(INDEX(Scoring_Engine!$H$2:$H$13,MATCH(7,Scoring_Engine!$N$2:$N$13,0)),"0")&amp;")"</f>
        <v>High score driven by demand (57), need-gap (44)</v>
      </c>
    </row>
    <row r="11" customFormat="false" ht="15" hidden="false" customHeight="false" outlineLevel="0" collapsed="false">
      <c r="A11" s="7" t="n">
        <v>8</v>
      </c>
      <c r="B11" s="15" t="str">
        <f aca="false">INDEX(Scoring_Engine!$B$2:$B$13,MATCH(8,Scoring_Engine!$N$2:$N$13,0))</f>
        <v>Girls Toilet Block - Govt School</v>
      </c>
      <c r="C11" s="15" t="str">
        <f aca="false">INDEX(Scoring_Engine!$C$2:$C$13,MATCH(8,Scoring_Engine!$N$2:$N$13,0))</f>
        <v>Education</v>
      </c>
      <c r="D11" s="15" t="str">
        <f aca="false">INDEX(Scoring_Engine!$D$2:$D$13,MATCH(8,Scoring_Engine!$N$2:$N$13,0))</f>
        <v>Ward 6</v>
      </c>
      <c r="E11" s="18" t="n">
        <f aca="false">INDEX(Scoring_Engine!$M$2:$M$13,MATCH(8,Scoring_Engine!$N$2:$N$13,0))</f>
        <v>40.6683248643322</v>
      </c>
      <c r="F11" s="7" t="str">
        <f aca="false">"High score driven by demand ("&amp;TEXT(INDEX(Scoring_Engine!$F$2:$F$13,MATCH(8,Scoring_Engine!$N$2:$N$13,0)),"0")&amp;"), need-gap ("&amp;TEXT(INDEX(Scoring_Engine!$H$2:$H$13,MATCH(8,Scoring_Engine!$N$2:$N$13,0)),"0")&amp;")"</f>
        <v>High score driven by demand (16), need-gap (59)</v>
      </c>
    </row>
    <row r="12" customFormat="false" ht="15" hidden="false" customHeight="false" outlineLevel="0" collapsed="false">
      <c r="A12" s="7" t="n">
        <v>9</v>
      </c>
      <c r="B12" s="15" t="str">
        <f aca="false">INDEX(Scoring_Engine!$B$2:$B$13,MATCH(9,Scoring_Engine!$N$2:$N$13,0))</f>
        <v>Anganwadi Centre Renovation</v>
      </c>
      <c r="C12" s="15" t="str">
        <f aca="false">INDEX(Scoring_Engine!$C$2:$C$13,MATCH(9,Scoring_Engine!$N$2:$N$13,0))</f>
        <v>Health</v>
      </c>
      <c r="D12" s="15" t="str">
        <f aca="false">INDEX(Scoring_Engine!$D$2:$D$13,MATCH(9,Scoring_Engine!$N$2:$N$13,0))</f>
        <v>Ward 3</v>
      </c>
      <c r="E12" s="18" t="n">
        <f aca="false">INDEX(Scoring_Engine!$M$2:$M$13,MATCH(9,Scoring_Engine!$N$2:$N$13,0))</f>
        <v>30.7876900533001</v>
      </c>
      <c r="F12" s="7" t="str">
        <f aca="false">"High score driven by demand ("&amp;TEXT(INDEX(Scoring_Engine!$F$2:$F$13,MATCH(9,Scoring_Engine!$N$2:$N$13,0)),"0")&amp;"), need-gap ("&amp;TEXT(INDEX(Scoring_Engine!$H$2:$H$13,MATCH(9,Scoring_Engine!$N$2:$N$13,0)),"0")&amp;")"</f>
        <v>High score driven by demand (17), need-gap (60)</v>
      </c>
    </row>
    <row r="13" customFormat="false" ht="15" hidden="false" customHeight="false" outlineLevel="0" collapsed="false">
      <c r="A13" s="7" t="n">
        <v>10</v>
      </c>
      <c r="B13" s="15" t="str">
        <f aca="false">INDEX(Scoring_Engine!$B$2:$B$13,MATCH(10,Scoring_Engine!$N$2:$N$13,0))</f>
        <v>New Vocational Training Centre</v>
      </c>
      <c r="C13" s="15" t="str">
        <f aca="false">INDEX(Scoring_Engine!$C$2:$C$13,MATCH(10,Scoring_Engine!$N$2:$N$13,0))</f>
        <v>Education</v>
      </c>
      <c r="D13" s="15" t="str">
        <f aca="false">INDEX(Scoring_Engine!$D$2:$D$13,MATCH(10,Scoring_Engine!$N$2:$N$13,0))</f>
        <v>Ward 7</v>
      </c>
      <c r="E13" s="18" t="n">
        <f aca="false">INDEX(Scoring_Engine!$M$2:$M$13,MATCH(10,Scoring_Engine!$N$2:$N$13,0))</f>
        <v>23.4735169818299</v>
      </c>
      <c r="F13" s="7" t="str">
        <f aca="false">"High score driven by demand ("&amp;TEXT(INDEX(Scoring_Engine!$F$2:$F$13,MATCH(10,Scoring_Engine!$N$2:$N$13,0)),"0")&amp;"), need-gap ("&amp;TEXT(INDEX(Scoring_Engine!$H$2:$H$13,MATCH(10,Scoring_Engine!$N$2:$N$13,0)),"0")&amp;")"</f>
        <v>High score driven by demand (5), need-gap (62)</v>
      </c>
    </row>
    <row r="14" customFormat="false" ht="15" hidden="false" customHeight="false" outlineLevel="0" collapsed="false">
      <c r="A14" s="7" t="n">
        <v>11</v>
      </c>
      <c r="B14" s="15" t="str">
        <f aca="false">INDEX(Scoring_Engine!$B$2:$B$13,MATCH(11,Scoring_Engine!$N$2:$N$13,0))</f>
        <v>Skill Development Centre (duplicate of vocational ask)</v>
      </c>
      <c r="C14" s="15" t="str">
        <f aca="false">INDEX(Scoring_Engine!$C$2:$C$13,MATCH(11,Scoring_Engine!$N$2:$N$13,0))</f>
        <v>Education</v>
      </c>
      <c r="D14" s="15" t="str">
        <f aca="false">INDEX(Scoring_Engine!$D$2:$D$13,MATCH(11,Scoring_Engine!$N$2:$N$13,0))</f>
        <v>Ward 7</v>
      </c>
      <c r="E14" s="18" t="n">
        <f aca="false">INDEX(Scoring_Engine!$M$2:$M$13,MATCH(11,Scoring_Engine!$N$2:$N$13,0))</f>
        <v>16.9101244101244</v>
      </c>
      <c r="F14" s="7" t="str">
        <f aca="false">"High score driven by demand ("&amp;TEXT(INDEX(Scoring_Engine!$F$2:$F$13,MATCH(11,Scoring_Engine!$N$2:$N$13,0)),"0")&amp;"), need-gap ("&amp;TEXT(INDEX(Scoring_Engine!$H$2:$H$13,MATCH(11,Scoring_Engine!$N$2:$N$13,0)),"0")&amp;")"</f>
        <v>High score driven by demand (0), need-gap (62)</v>
      </c>
    </row>
    <row r="15" customFormat="false" ht="15" hidden="false" customHeight="false" outlineLevel="0" collapsed="false">
      <c r="A15" s="7" t="n">
        <v>12</v>
      </c>
      <c r="B15" s="15" t="str">
        <f aca="false">INDEX(Scoring_Engine!$B$2:$B$13,MATCH(12,Scoring_Engine!$N$2:$N$13,0))</f>
        <v>Bus Shelter Construction</v>
      </c>
      <c r="C15" s="15" t="str">
        <f aca="false">INDEX(Scoring_Engine!$C$2:$C$13,MATCH(12,Scoring_Engine!$N$2:$N$13,0))</f>
        <v>Infrastructure</v>
      </c>
      <c r="D15" s="15" t="str">
        <f aca="false">INDEX(Scoring_Engine!$D$2:$D$13,MATCH(12,Scoring_Engine!$N$2:$N$13,0))</f>
        <v>Ward 7</v>
      </c>
      <c r="E15" s="18" t="n">
        <f aca="false">INDEX(Scoring_Engine!$M$2:$M$13,MATCH(12,Scoring_Engine!$N$2:$N$13,0))</f>
        <v>13.3373621905421</v>
      </c>
      <c r="F15" s="7" t="str">
        <f aca="false">"High score driven by demand ("&amp;TEXT(INDEX(Scoring_Engine!$F$2:$F$13,MATCH(12,Scoring_Engine!$N$2:$N$13,0)),"0")&amp;"), need-gap ("&amp;TEXT(INDEX(Scoring_Engine!$H$2:$H$13,MATCH(12,Scoring_Engine!$N$2:$N$13,0)),"0")&amp;")"</f>
        <v>High score driven by demand (1), need-gap (0)</v>
      </c>
    </row>
    <row r="18" customFormat="false" ht="15" hidden="false" customHeight="false" outlineLevel="0" collapsed="false">
      <c r="A18" s="2" t="s">
        <v>107</v>
      </c>
    </row>
    <row r="19" customFormat="false" ht="15" hidden="false" customHeight="false" outlineLevel="0" collapsed="false">
      <c r="A19" s="19" t="s">
        <v>31</v>
      </c>
      <c r="B19" s="19" t="s">
        <v>108</v>
      </c>
    </row>
    <row r="20" customFormat="false" ht="15" hidden="false" customHeight="false" outlineLevel="0" collapsed="false">
      <c r="A20" s="7" t="s">
        <v>42</v>
      </c>
      <c r="B20" s="16" t="n">
        <f aca="false">SUMIF(Scoring_Engine!$C$2:$C$13,A20,Scoring_Engine!$M$2:$M$13)</f>
        <v>188.73446150316</v>
      </c>
    </row>
    <row r="21" customFormat="false" ht="15" hidden="false" customHeight="false" outlineLevel="0" collapsed="false">
      <c r="A21" s="7" t="s">
        <v>52</v>
      </c>
      <c r="B21" s="16" t="n">
        <f aca="false">SUMIF(Scoring_Engine!$C$2:$C$13,A21,Scoring_Engine!$M$2:$M$13)</f>
        <v>67.1402475615057</v>
      </c>
    </row>
    <row r="22" customFormat="false" ht="15" hidden="false" customHeight="false" outlineLevel="0" collapsed="false">
      <c r="A22" s="7" t="s">
        <v>60</v>
      </c>
      <c r="B22" s="16" t="n">
        <f aca="false">SUMIF(Scoring_Engine!$C$2:$C$13,A22,Scoring_Engine!$M$2:$M$13)</f>
        <v>115.446001996929</v>
      </c>
    </row>
    <row r="23" customFormat="false" ht="15" hidden="false" customHeight="false" outlineLevel="0" collapsed="false">
      <c r="A23" s="7" t="s">
        <v>65</v>
      </c>
      <c r="B23" s="16" t="n">
        <f aca="false">SUMIF(Scoring_Engine!$C$2:$C$13,A23,Scoring_Engine!$M$2:$M$13)</f>
        <v>74.5584647147147</v>
      </c>
    </row>
    <row r="24" customFormat="false" ht="15" hidden="false" customHeight="false" outlineLevel="0" collapsed="false">
      <c r="A24" s="7" t="s">
        <v>70</v>
      </c>
      <c r="B24" s="16" t="n">
        <f aca="false">SUMIF(Scoring_Engine!$C$2:$C$13,A24,Scoring_Engine!$M$2:$M$13)</f>
        <v>83.3520638565335</v>
      </c>
    </row>
    <row r="27" customFormat="false" ht="15" hidden="false" customHeight="false" outlineLevel="0" collapsed="false">
      <c r="A27" s="5" t="s">
        <v>109</v>
      </c>
    </row>
  </sheetData>
  <mergeCells count="1">
    <mergeCell ref="A1:F1"/>
  </mergeCells>
  <conditionalFormatting sqref="E4:E15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{10A29B41-261A-401E-8C8C-2A93207C1F7F}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A29B41-261A-401E-8C8C-2A93207C1F7F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E4:E15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2026-07-02T12:47:50Z</dcterms:created>
  <dc:creator>openpyxl</dc:creator>
  <dc:description/>
  <dc:language>en-US</dc:language>
  <cp:lastModifiedBy/>
  <dcterms:modified xsi:type="dcterms:W3CDTF">2026-07-02T12:48:30Z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